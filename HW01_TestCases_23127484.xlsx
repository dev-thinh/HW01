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Checklist" sheetId="2" state="visible" r:id="rId4"/>
    <sheet name="Test Summary Re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<sst xmlns="http://schemas.openxmlformats.org/spreadsheetml/2006/main" count="201" uniqueCount="166">
  <si>
    <t xml:space="preserve">HW01 – Test Cases | SENKO Fan B1616 | Nguyễn Đặng Đức Thịnh – 23127484</t>
  </si>
  <si>
    <t xml:space="preserve">TC ID</t>
  </si>
  <si>
    <t xml:space="preserve">Mục tiêu (Objective)</t>
  </si>
  <si>
    <t xml:space="preserve">Đầu vào (Input)</t>
  </si>
  <si>
    <t xml:space="preserve">Các bước thực hiện (Steps)</t>
  </si>
  <si>
    <t xml:space="preserve">Kết quả mong đợi (Expected)</t>
  </si>
  <si>
    <t xml:space="preserve">Kết quả thực tế (Actual)</t>
  </si>
  <si>
    <t xml:space="preserve">Verdict</t>
  </si>
  <si>
    <t xml:space="preserve">Loại TC</t>
  </si>
  <si>
    <t xml:space="preserve">Ghi chú</t>
  </si>
  <si>
    <t xml:space="preserve">TC-001</t>
  </si>
  <si>
    <t xml:space="preserve">Kiểm tra quạt bật ở mức tốc độ 1</t>
  </si>
  <si>
    <t xml:space="preserve">Nhấn nút số 1</t>
  </si>
  <si>
    <t xml:space="preserve">1. Đảm bảo quạt được cấp điện.
2. Nhấn nút số 1.</t>
  </si>
  <si>
    <t xml:space="preserve">Quạt bắt đầu quay ở tốc độ thấp.</t>
  </si>
  <si>
    <t xml:space="preserve">Normal</t>
  </si>
  <si>
    <t xml:space="preserve">TC-002</t>
  </si>
  <si>
    <t xml:space="preserve">Kiểm tra quạt bật ở mức tốc độ 2</t>
  </si>
  <si>
    <t xml:space="preserve">Nhấn nút số 2</t>
  </si>
  <si>
    <t xml:space="preserve">1. Đảm bảo quạt được cấp điện.
2. Nhấn nút số 2.</t>
  </si>
  <si>
    <t xml:space="preserve">Quạt bắt đầu quay ở tốc độ trung bình.</t>
  </si>
  <si>
    <t xml:space="preserve">TC-003</t>
  </si>
  <si>
    <t xml:space="preserve">Kiểm tra quạt bật ở mức tốc độ 3</t>
  </si>
  <si>
    <t xml:space="preserve">Nhấn nút số 3</t>
  </si>
  <si>
    <t xml:space="preserve">1. Đảm bảo quạt được cấp điện.
2. Nhấn nút số 3.</t>
  </si>
  <si>
    <t xml:space="preserve">Quạt bắt đầu quay ở tốc độ cao.</t>
  </si>
  <si>
    <t xml:space="preserve">TC-004</t>
  </si>
  <si>
    <t xml:space="preserve">Kiểm tra nút tắt khi quạt đang ở tốc độ 1</t>
  </si>
  <si>
    <t xml:space="preserve">Nhấn nút OFF</t>
  </si>
  <si>
    <t xml:space="preserve">1. Bật quạt ở tốc độ 1.
2. Nhấn nút OFF.</t>
  </si>
  <si>
    <t xml:space="preserve">Quạt dừng quay hoàn toàn.</t>
  </si>
  <si>
    <t xml:space="preserve">TC-005</t>
  </si>
  <si>
    <t xml:space="preserve">Kiểm tra nút tắt khi quạt đang ở tốc độ 2</t>
  </si>
  <si>
    <t xml:space="preserve">1. Bật quạt ở tốc độ 2.
2. Nhấn nút OFF.</t>
  </si>
  <si>
    <t xml:space="preserve">TC-006</t>
  </si>
  <si>
    <t xml:space="preserve">Kiểm tra nút tắt khi quạt đang ở tốc độ 3</t>
  </si>
  <si>
    <t xml:space="preserve">1. Bật quạt ở tốc độ 3.
2. Nhấn nút OFF.</t>
  </si>
  <si>
    <t xml:space="preserve">TC-007</t>
  </si>
  <si>
    <t xml:space="preserve">Kiểm tra chuyển từ tốc độ 1 sang tốc độ 2</t>
  </si>
  <si>
    <t xml:space="preserve">1. Bật quạt ở tốc độ 1.
2. Nhấn nút số 2.</t>
  </si>
  <si>
    <t xml:space="preserve">Tốc độ quạt tăng từ thấp lên trung bình.</t>
  </si>
  <si>
    <t xml:space="preserve">TC-008</t>
  </si>
  <si>
    <t xml:space="preserve">Kiểm tra chuyển từ tốc độ 2 sang tốc độ 3</t>
  </si>
  <si>
    <t xml:space="preserve">1. Bật quạt ở tốc độ 2.
2. Nhấn nút số 3.</t>
  </si>
  <si>
    <t xml:space="preserve">Tốc độ quạt tăng từ trung bình lên cao.</t>
  </si>
  <si>
    <t xml:space="preserve">TC-009</t>
  </si>
  <si>
    <t xml:space="preserve">Kiểm tra chuyển từ tốc độ 3 xuống tốc độ 1</t>
  </si>
  <si>
    <t xml:space="preserve">1. Bật quạt ở tốc độ 3.
2. Nhấn nút số 1.</t>
  </si>
  <si>
    <t xml:space="preserve">Tốc độ quạt giảm từ cao xuống thấp.</t>
  </si>
  <si>
    <t xml:space="preserve">TC-010</t>
  </si>
  <si>
    <t xml:space="preserve">Kiểm tra chỉ một mức tốc độ được kích hoạt tại một thời điểm</t>
  </si>
  <si>
    <t xml:space="preserve">Nhấn lần lượt các nút tốc độ</t>
  </si>
  <si>
    <t xml:space="preserve">1. Bật quạt ở tốc độ 1.
2. Nhấn nút số 2.
3. Nhấn nút số 3.</t>
  </si>
  <si>
    <t xml:space="preserve">Quạt hoạt động ở mức tốc độ được chọn cuối cùng.</t>
  </si>
  <si>
    <t xml:space="preserve">TC-011</t>
  </si>
  <si>
    <t xml:space="preserve">Kiểm tra quạt vẫn tắt khi không chọn tốc độ nào</t>
  </si>
  <si>
    <t xml:space="preserve">Không thao tác</t>
  </si>
  <si>
    <t xml:space="preserve">1. Cắm điện cho quạt.
2. Không nhấn bất kỳ nút tốc độ nào.</t>
  </si>
  <si>
    <t xml:space="preserve">Quạt không hoạt động.</t>
  </si>
  <si>
    <t xml:space="preserve">TC-012</t>
  </si>
  <si>
    <t xml:space="preserve">Kiểm tra quạt có thể bật lại sau khi tắt</t>
  </si>
  <si>
    <t xml:space="preserve">1. Bật quạt.
2. Nhấn nút OFF.
3. Nhấn nút số 2.</t>
  </si>
  <si>
    <t xml:space="preserve">Quạt hoạt động trở lại ở tốc độ trung bình.</t>
  </si>
  <si>
    <t xml:space="preserve">TC-013</t>
  </si>
  <si>
    <t xml:space="preserve">Kiểm tra hoạt động sau khi mất điện và có điện lại</t>
  </si>
  <si>
    <t xml:space="preserve">Ngắt và cấp lại nguồn điện</t>
  </si>
  <si>
    <t xml:space="preserve">1. Bật quạt ở tốc độ 1.
2. Rút nguồn điện.
3. Cắm lại điện.</t>
  </si>
  <si>
    <t xml:space="preserve">Quạt hoạt động theo đúng trạng thái thiết kế, không bất thường.</t>
  </si>
  <si>
    <t xml:space="preserve">TC-014</t>
  </si>
  <si>
    <t xml:space="preserve">Kiểm tra an toàn khi lồng quạt lắp đúng cách</t>
  </si>
  <si>
    <t xml:space="preserve">1. Đảm bảo lồng quạt lắp chắc chắn.
2. Bật quạt ở tốc độ 3.</t>
  </si>
  <si>
    <t xml:space="preserve">Quạt hoạt động bình thường, cánh không chạm lồng.</t>
  </si>
  <si>
    <t xml:space="preserve">TC-015</t>
  </si>
  <si>
    <t xml:space="preserve">Kiểm tra độ an toàn khi quạt hoạt động liên tục</t>
  </si>
  <si>
    <t xml:space="preserve">Cho quạt chạy tốc độ 3 liên tục</t>
  </si>
  <si>
    <t xml:space="preserve">1. Bật quạt ở tốc độ 3.
2. Để quạt chạy liên tục trong thời gian quy định.</t>
  </si>
  <si>
    <t xml:space="preserve">Không tiếng ồn bất thường, không tia lửa, không khói, không tự ngắt.</t>
  </si>
  <si>
    <t xml:space="preserve">TC-E01</t>
  </si>
  <si>
    <t xml:space="preserve">Kiểm tra độ ổn định quạt trên bề mặt nghiêng/gồ ghề</t>
  </si>
  <si>
    <t xml:space="preserve">Đặt quạt trên mặt nghiêng, nhấn Speed 3</t>
  </si>
  <si>
    <t xml:space="preserve">1. Đặt quạt trên bề mặt nghiêng không bằng phẳng.
2. Cắm điện.
3. Nhấn nút Speed 3.</t>
  </si>
  <si>
    <t xml:space="preserve">Quạt hoạt động nhưng có thể rung lắc. Nếu quạt có nguy cơ đổ ngã → ghi nhận lỗi an toàn.</t>
  </si>
  <si>
    <t xml:space="preserve">Edge</t>
  </si>
  <si>
    <t xml:space="preserve">AI bỏ sót – thiếu dầu nhớt / bề mặt bất thường</t>
  </si>
  <si>
    <t xml:space="preserve">TC-E02</t>
  </si>
  <si>
    <t xml:space="preserve">Kiểm tra nút bấm bị kẹt do lâu ngày không sử dụng</t>
  </si>
  <si>
    <t xml:space="preserve">Nhấn nút tốc độ bị kẹt</t>
  </si>
  <si>
    <t xml:space="preserve">1. Cắm điện cho quạt.
2. Nhấn nút tốc độ bị kẹt.
3. Quan sát phản hồi.</t>
  </si>
  <si>
    <t xml:space="preserve">Nút không thể nhấn hoặc không bật lại → quạt không chuyển tốc độ.</t>
  </si>
  <si>
    <t xml:space="preserve">AI bỏ sót – button aging</t>
  </si>
  <si>
    <t xml:space="preserve">TC-E03</t>
  </si>
  <si>
    <t xml:space="preserve">Kiểm tra quạt khi cánh thiếu dầu nhớt / bị kẹt cơ học</t>
  </si>
  <si>
    <t xml:space="preserve">Nhấn Speed 1 khi cánh bị kẹt</t>
  </si>
  <si>
    <t xml:space="preserve">1. Cắm điện.
2. Nhấn nút Speed 1.
3. Quan sát chuyển động cánh quạt.</t>
  </si>
  <si>
    <t xml:space="preserve">Động cơ có điện nhưng cánh không quay → tiếng ù bất thường.</t>
  </si>
  <si>
    <t xml:space="preserve">AI bỏ sót – mechanical failure</t>
  </si>
  <si>
    <t xml:space="preserve">HW01 – Pre-Execution Checklist | SENKO Fan B1616</t>
  </si>
  <si>
    <t xml:space="preserve">#</t>
  </si>
  <si>
    <t xml:space="preserve">Hạng mục kiểm tra</t>
  </si>
  <si>
    <t xml:space="preserve">Tiêu chí Pass</t>
  </si>
  <si>
    <t xml:space="preserve">Trạng thái</t>
  </si>
  <si>
    <t xml:space="preserve">Người kiểm tra</t>
  </si>
  <si>
    <t xml:space="preserve">Nguồn điện đúng điện áp (220V AC)</t>
  </si>
  <si>
    <t xml:space="preserve">Đồng hồ đo cho thấy 220V ±10%</t>
  </si>
  <si>
    <t xml:space="preserve">Dây nguồn không bị hư hỏng, đứt, cháy</t>
  </si>
  <si>
    <t xml:space="preserve">Kiểm tra toàn bộ dây bằng mắt</t>
  </si>
  <si>
    <t xml:space="preserve">Lồng quạt lắp chắc chắn, không lỏng</t>
  </si>
  <si>
    <t xml:space="preserve">Lắc nhẹ lồng không bị xê dịch</t>
  </si>
  <si>
    <t xml:space="preserve">Cánh quạt gắn chặt vào trục</t>
  </si>
  <si>
    <t xml:space="preserve">Dùng tay kiểm tra – không lung lay</t>
  </si>
  <si>
    <t xml:space="preserve">Bề mặt đặt quạt bằng phẳng, ổn định</t>
  </si>
  <si>
    <t xml:space="preserve">Quạt không bị nghiêng &gt; 5°</t>
  </si>
  <si>
    <t xml:space="preserve">Không có vật lạ trong lồng quạt</t>
  </si>
  <si>
    <t xml:space="preserve">Kiểm tra bằng mắt, đèn pin nếu cần</t>
  </si>
  <si>
    <t xml:space="preserve">Nút bấm không bị kẹt trước khi test</t>
  </si>
  <si>
    <t xml:space="preserve">Nhấn thử từng nút – bật/nhả bình thường</t>
  </si>
  <si>
    <t xml:space="preserve">Môi trường xung quanh không ẩm ướt</t>
  </si>
  <si>
    <t xml:space="preserve">Độ ẩm &lt; 80%, không có nước gần thiết bị</t>
  </si>
  <si>
    <t xml:space="preserve">Camera/điện thoại sẵn sàng quay video</t>
  </si>
  <si>
    <t xml:space="preserve">Pin &gt; 50%, dung lượng đủ, microphone hoạt động</t>
  </si>
  <si>
    <t xml:space="preserve">Thẻ sinh viên chuẩn bị sẵn cho ảnh chứng minh</t>
  </si>
  <si>
    <t xml:space="preserve">Thẻ còn hiệu lực, ảnh rõ ràng</t>
  </si>
  <si>
    <t xml:space="preserve">HW01 – Test Summary Report | SENKO Fan B1616</t>
  </si>
  <si>
    <t xml:space="preserve">Sinh viên</t>
  </si>
  <si>
    <t xml:space="preserve">Nguyễn Đặng Đức Thịnh</t>
  </si>
  <si>
    <t xml:space="preserve">MSSV</t>
  </si>
  <si>
    <t xml:space="preserve">23127484</t>
  </si>
  <si>
    <t xml:space="preserve">Thiết bị</t>
  </si>
  <si>
    <t xml:space="preserve">SENKO Fan B1616 (2023)</t>
  </si>
  <si>
    <t xml:space="preserve">Ngày thực thi</t>
  </si>
  <si>
    <t xml:space="preserve">08/06/2026</t>
  </si>
  <si>
    <t xml:space="preserve">Môi trường</t>
  </si>
  <si>
    <t xml:space="preserve">Phòng trong nhà, nhiệt độ phòng ~28°C</t>
  </si>
  <si>
    <t xml:space="preserve">Tổng số TC</t>
  </si>
  <si>
    <t xml:space="preserve">KẾT QUẢ THỰC THI</t>
  </si>
  <si>
    <t xml:space="preserve">Chỉ số</t>
  </si>
  <si>
    <t xml:space="preserve">Số lượng</t>
  </si>
  <si>
    <t xml:space="preserve">Tỉ lệ</t>
  </si>
  <si>
    <t xml:space="preserve">Tổng TC thiết kế</t>
  </si>
  <si>
    <t xml:space="preserve">100%</t>
  </si>
  <si>
    <t xml:space="preserve">15 normal + 3 edge cases</t>
  </si>
  <si>
    <t xml:space="preserve">TC thực thi</t>
  </si>
  <si>
    <t xml:space="preserve">≥5 theo yêu cầu đề</t>
  </si>
  <si>
    <t xml:space="preserve">PASS</t>
  </si>
  <si>
    <t xml:space="preserve">FAIL</t>
  </si>
  <si>
    <t xml:space="preserve">D-03 (Major), D-05 (Major)</t>
  </si>
  <si>
    <t xml:space="preserve">SKIP</t>
  </si>
  <si>
    <t xml:space="preserve">Defects tìm được</t>
  </si>
  <si>
    <t xml:space="preserve">D-01 đến D-05</t>
  </si>
  <si>
    <t xml:space="preserve">DEFECTS TÌM ĐƯỢC</t>
  </si>
  <si>
    <t xml:space="preserve">Bug ID</t>
  </si>
  <si>
    <t xml:space="preserve">TC liên quan</t>
  </si>
  <si>
    <t xml:space="preserve">Mô tả</t>
  </si>
  <si>
    <t xml:space="preserve">Severity</t>
  </si>
  <si>
    <t xml:space="preserve">D-01</t>
  </si>
  <si>
    <t xml:space="preserve">Tốc độ 2 và tốc độ 3 có lưu lượng gió gần như bằng nhau, không phân biệt rõ</t>
  </si>
  <si>
    <t xml:space="preserve">Minor</t>
  </si>
  <si>
    <t xml:space="preserve">D-02</t>
  </si>
  <si>
    <t xml:space="preserve">Tiếng rít nhẹ xuất hiện ở tốc độ 3 khi xoay ngang</t>
  </si>
  <si>
    <t xml:space="preserve">D-03</t>
  </si>
  <si>
    <t xml:space="preserve">Cổ quạt bị lỏng lẻo khi quay</t>
  </si>
  <si>
    <t xml:space="preserve">Major</t>
  </si>
  <si>
    <t xml:space="preserve">D-04</t>
  </si>
  <si>
    <t xml:space="preserve">Quạt phát ra tiếng 'cạch' khi khởi động lại</t>
  </si>
  <si>
    <t xml:space="preserve">D-05</t>
  </si>
  <si>
    <t xml:space="preserve">Cơ chế xoay dừng đột ngột sau 30 phút liên tục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</si>
</sst>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2EFDA"/>
      </patternFill>
    </fill>
    <fill>
      <patternFill patternType="solid">
        <fgColor rgb="FFE2EFDA"/>
        <bgColor rgb="FFFCE4D6"/>
      </patternFill>
    </fill>
    <fill>
      <patternFill patternType="solid">
        <fgColor rgb="FF375623"/>
        <bgColor rgb="FF333300"/>
      </patternFill>
    </fill>
    <fill>
      <patternFill patternType="solid">
        <fgColor rgb="FF833C00"/>
        <bgColor rgb="FF993366"/>
      </patternFill>
    </fill>
    <fill>
      <patternFill patternType="solid">
        <fgColor rgb="FFFCE4D6"/>
        <bgColor rgb="FFE2EFDA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60" hidden="false" customHeight="tru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/>
      <c r="G3" s="3"/>
      <c r="H3" s="3" t="s">
        <v>15</v>
      </c>
      <c r="I3" s="3"/>
    </row>
    <row r="4" customFormat="false" ht="60" hidden="false" customHeight="tru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/>
      <c r="G4" s="3"/>
      <c r="H4" s="3" t="s">
        <v>15</v>
      </c>
      <c r="I4" s="3"/>
    </row>
    <row r="5" customFormat="false" ht="60" hidden="false" customHeight="true" outlineLevel="0" collapsed="false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/>
      <c r="G5" s="3"/>
      <c r="H5" s="3" t="s">
        <v>15</v>
      </c>
      <c r="I5" s="3"/>
    </row>
    <row r="6" customFormat="false" ht="60" hidden="false" customHeight="true" outlineLevel="0" collapsed="false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/>
      <c r="G6" s="3"/>
      <c r="H6" s="3" t="s">
        <v>15</v>
      </c>
      <c r="I6" s="3"/>
    </row>
    <row r="7" customFormat="false" ht="60" hidden="false" customHeight="true" outlineLevel="0" collapsed="false">
      <c r="A7" s="3" t="s">
        <v>31</v>
      </c>
      <c r="B7" s="3" t="s">
        <v>32</v>
      </c>
      <c r="C7" s="3" t="s">
        <v>28</v>
      </c>
      <c r="D7" s="3" t="s">
        <v>33</v>
      </c>
      <c r="E7" s="3" t="s">
        <v>30</v>
      </c>
      <c r="F7" s="3"/>
      <c r="G7" s="3"/>
      <c r="H7" s="3" t="s">
        <v>15</v>
      </c>
      <c r="I7" s="3"/>
    </row>
    <row r="8" customFormat="false" ht="60" hidden="false" customHeight="true" outlineLevel="0" collapsed="false">
      <c r="A8" s="3" t="s">
        <v>34</v>
      </c>
      <c r="B8" s="3" t="s">
        <v>35</v>
      </c>
      <c r="C8" s="3" t="s">
        <v>28</v>
      </c>
      <c r="D8" s="3" t="s">
        <v>36</v>
      </c>
      <c r="E8" s="3" t="s">
        <v>30</v>
      </c>
      <c r="F8" s="3"/>
      <c r="G8" s="3"/>
      <c r="H8" s="3" t="s">
        <v>15</v>
      </c>
      <c r="I8" s="3"/>
    </row>
    <row r="9" customFormat="false" ht="60" hidden="false" customHeight="true" outlineLevel="0" collapsed="false">
      <c r="A9" s="3" t="s">
        <v>37</v>
      </c>
      <c r="B9" s="3" t="s">
        <v>38</v>
      </c>
      <c r="C9" s="3" t="s">
        <v>18</v>
      </c>
      <c r="D9" s="3" t="s">
        <v>39</v>
      </c>
      <c r="E9" s="3" t="s">
        <v>40</v>
      </c>
      <c r="F9" s="3"/>
      <c r="G9" s="3"/>
      <c r="H9" s="3" t="s">
        <v>15</v>
      </c>
      <c r="I9" s="3"/>
    </row>
    <row r="10" customFormat="false" ht="60" hidden="false" customHeight="true" outlineLevel="0" collapsed="false">
      <c r="A10" s="3" t="s">
        <v>41</v>
      </c>
      <c r="B10" s="3" t="s">
        <v>42</v>
      </c>
      <c r="C10" s="3" t="s">
        <v>23</v>
      </c>
      <c r="D10" s="3" t="s">
        <v>43</v>
      </c>
      <c r="E10" s="3" t="s">
        <v>44</v>
      </c>
      <c r="F10" s="3"/>
      <c r="G10" s="3"/>
      <c r="H10" s="3" t="s">
        <v>15</v>
      </c>
      <c r="I10" s="3"/>
    </row>
    <row r="11" customFormat="false" ht="60" hidden="false" customHeight="true" outlineLevel="0" collapsed="false">
      <c r="A11" s="3" t="s">
        <v>45</v>
      </c>
      <c r="B11" s="3" t="s">
        <v>46</v>
      </c>
      <c r="C11" s="3" t="s">
        <v>12</v>
      </c>
      <c r="D11" s="3" t="s">
        <v>47</v>
      </c>
      <c r="E11" s="3" t="s">
        <v>48</v>
      </c>
      <c r="F11" s="3"/>
      <c r="G11" s="3"/>
      <c r="H11" s="3" t="s">
        <v>15</v>
      </c>
      <c r="I11" s="3"/>
    </row>
    <row r="12" customFormat="false" ht="60" hidden="false" customHeight="true" outlineLevel="0" collapsed="false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3"/>
      <c r="G12" s="3"/>
      <c r="H12" s="3" t="s">
        <v>15</v>
      </c>
      <c r="I12" s="3"/>
    </row>
    <row r="13" customFormat="false" ht="60" hidden="false" customHeight="true" outlineLevel="0" collapsed="false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58</v>
      </c>
      <c r="F13" s="3"/>
      <c r="G13" s="3"/>
      <c r="H13" s="3" t="s">
        <v>15</v>
      </c>
      <c r="I13" s="3"/>
    </row>
    <row r="14" customFormat="false" ht="60" hidden="false" customHeight="true" outlineLevel="0" collapsed="false">
      <c r="A14" s="3" t="s">
        <v>59</v>
      </c>
      <c r="B14" s="3" t="s">
        <v>60</v>
      </c>
      <c r="C14" s="3" t="s">
        <v>18</v>
      </c>
      <c r="D14" s="3" t="s">
        <v>61</v>
      </c>
      <c r="E14" s="3" t="s">
        <v>62</v>
      </c>
      <c r="F14" s="3"/>
      <c r="G14" s="3"/>
      <c r="H14" s="3" t="s">
        <v>15</v>
      </c>
      <c r="I14" s="3"/>
    </row>
    <row r="15" customFormat="false" ht="60" hidden="false" customHeight="true" outlineLevel="0" collapsed="false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67</v>
      </c>
      <c r="F15" s="3"/>
      <c r="G15" s="3"/>
      <c r="H15" s="3" t="s">
        <v>15</v>
      </c>
      <c r="I15" s="3"/>
    </row>
    <row r="16" customFormat="false" ht="60" hidden="false" customHeight="true" outlineLevel="0" collapsed="false">
      <c r="A16" s="3" t="s">
        <v>68</v>
      </c>
      <c r="B16" s="3" t="s">
        <v>69</v>
      </c>
      <c r="C16" s="3" t="s">
        <v>23</v>
      </c>
      <c r="D16" s="3" t="s">
        <v>70</v>
      </c>
      <c r="E16" s="3" t="s">
        <v>71</v>
      </c>
      <c r="F16" s="3"/>
      <c r="G16" s="3"/>
      <c r="H16" s="3" t="s">
        <v>15</v>
      </c>
      <c r="I16" s="3"/>
    </row>
    <row r="17" customFormat="false" ht="60" hidden="false" customHeight="true" outlineLevel="0" collapsed="false">
      <c r="A17" s="3" t="s">
        <v>72</v>
      </c>
      <c r="B17" s="3" t="s">
        <v>73</v>
      </c>
      <c r="C17" s="3" t="s">
        <v>74</v>
      </c>
      <c r="D17" s="3" t="s">
        <v>75</v>
      </c>
      <c r="E17" s="3" t="s">
        <v>76</v>
      </c>
      <c r="F17" s="3"/>
      <c r="G17" s="3"/>
      <c r="H17" s="3" t="s">
        <v>15</v>
      </c>
      <c r="I17" s="3"/>
    </row>
    <row r="18" customFormat="false" ht="60" hidden="false" customHeight="true" outlineLevel="0" collapsed="false">
      <c r="A18" s="4" t="s">
        <v>77</v>
      </c>
      <c r="B18" s="4" t="s">
        <v>78</v>
      </c>
      <c r="C18" s="4" t="s">
        <v>79</v>
      </c>
      <c r="D18" s="4" t="s">
        <v>80</v>
      </c>
      <c r="E18" s="4" t="s">
        <v>81</v>
      </c>
      <c r="F18" s="4"/>
      <c r="G18" s="4"/>
      <c r="H18" s="4" t="s">
        <v>82</v>
      </c>
      <c r="I18" s="4" t="s">
        <v>83</v>
      </c>
    </row>
    <row r="19" customFormat="false" ht="60" hidden="false" customHeight="true" outlineLevel="0" collapsed="false">
      <c r="A19" s="4" t="s">
        <v>84</v>
      </c>
      <c r="B19" s="4" t="s">
        <v>85</v>
      </c>
      <c r="C19" s="4" t="s">
        <v>86</v>
      </c>
      <c r="D19" s="4" t="s">
        <v>87</v>
      </c>
      <c r="E19" s="4" t="s">
        <v>88</v>
      </c>
      <c r="F19" s="4"/>
      <c r="G19" s="4"/>
      <c r="H19" s="4" t="s">
        <v>82</v>
      </c>
      <c r="I19" s="4" t="s">
        <v>89</v>
      </c>
    </row>
    <row r="20" customFormat="false" ht="60" hidden="false" customHeight="true" outlineLevel="0" collapsed="false">
      <c r="A20" s="4" t="s">
        <v>90</v>
      </c>
      <c r="B20" s="4" t="s">
        <v>91</v>
      </c>
      <c r="C20" s="4" t="s">
        <v>92</v>
      </c>
      <c r="D20" s="4" t="s">
        <v>93</v>
      </c>
      <c r="E20" s="4" t="s">
        <v>94</v>
      </c>
      <c r="F20" s="4"/>
      <c r="G20" s="4"/>
      <c r="H20" s="4" t="s">
        <v>82</v>
      </c>
      <c r="I20" s="4" t="s">
        <v>95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5" t="s">
        <v>96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97</v>
      </c>
      <c r="B2" s="6" t="s">
        <v>98</v>
      </c>
      <c r="C2" s="6" t="s">
        <v>99</v>
      </c>
      <c r="D2" s="6" t="s">
        <v>100</v>
      </c>
      <c r="E2" s="6" t="s">
        <v>101</v>
      </c>
      <c r="F2" s="6" t="s">
        <v>9</v>
      </c>
    </row>
    <row r="3" customFormat="false" ht="30" hidden="false" customHeight="true" outlineLevel="0" collapsed="false">
      <c r="A3" s="3" t="n">
        <v>1</v>
      </c>
      <c r="B3" s="3" t="s">
        <v>102</v>
      </c>
      <c r="C3" s="3" t="s">
        <v>103</v>
      </c>
      <c r="D3" s="3"/>
      <c r="E3" s="3"/>
      <c r="F3" s="3"/>
    </row>
    <row r="4" customFormat="false" ht="30" hidden="false" customHeight="true" outlineLevel="0" collapsed="false">
      <c r="A4" s="3" t="n">
        <v>2</v>
      </c>
      <c r="B4" s="3" t="s">
        <v>104</v>
      </c>
      <c r="C4" s="3" t="s">
        <v>105</v>
      </c>
      <c r="D4" s="3"/>
      <c r="E4" s="3"/>
      <c r="F4" s="3"/>
    </row>
    <row r="5" customFormat="false" ht="30" hidden="false" customHeight="true" outlineLevel="0" collapsed="false">
      <c r="A5" s="3" t="n">
        <v>3</v>
      </c>
      <c r="B5" s="3" t="s">
        <v>106</v>
      </c>
      <c r="C5" s="3" t="s">
        <v>107</v>
      </c>
      <c r="D5" s="3"/>
      <c r="E5" s="3"/>
      <c r="F5" s="3"/>
    </row>
    <row r="6" customFormat="false" ht="30" hidden="false" customHeight="true" outlineLevel="0" collapsed="false">
      <c r="A6" s="3" t="n">
        <v>4</v>
      </c>
      <c r="B6" s="3" t="s">
        <v>108</v>
      </c>
      <c r="C6" s="3" t="s">
        <v>109</v>
      </c>
      <c r="D6" s="3"/>
      <c r="E6" s="3"/>
      <c r="F6" s="3"/>
    </row>
    <row r="7" customFormat="false" ht="30" hidden="false" customHeight="true" outlineLevel="0" collapsed="false">
      <c r="A7" s="3" t="n">
        <v>5</v>
      </c>
      <c r="B7" s="3" t="s">
        <v>110</v>
      </c>
      <c r="C7" s="3" t="s">
        <v>111</v>
      </c>
      <c r="D7" s="3"/>
      <c r="E7" s="3"/>
      <c r="F7" s="3"/>
    </row>
    <row r="8" customFormat="false" ht="30" hidden="false" customHeight="true" outlineLevel="0" collapsed="false">
      <c r="A8" s="3" t="n">
        <v>6</v>
      </c>
      <c r="B8" s="3" t="s">
        <v>112</v>
      </c>
      <c r="C8" s="3" t="s">
        <v>113</v>
      </c>
      <c r="D8" s="3"/>
      <c r="E8" s="3"/>
      <c r="F8" s="3"/>
    </row>
    <row r="9" customFormat="false" ht="30" hidden="false" customHeight="true" outlineLevel="0" collapsed="false">
      <c r="A9" s="3" t="n">
        <v>7</v>
      </c>
      <c r="B9" s="3" t="s">
        <v>114</v>
      </c>
      <c r="C9" s="3" t="s">
        <v>115</v>
      </c>
      <c r="D9" s="3"/>
      <c r="E9" s="3"/>
      <c r="F9" s="3"/>
    </row>
    <row r="10" customFormat="false" ht="30" hidden="false" customHeight="true" outlineLevel="0" collapsed="false">
      <c r="A10" s="3" t="n">
        <v>8</v>
      </c>
      <c r="B10" s="3" t="s">
        <v>116</v>
      </c>
      <c r="C10" s="3" t="s">
        <v>117</v>
      </c>
      <c r="D10" s="3"/>
      <c r="E10" s="3"/>
      <c r="F10" s="3"/>
    </row>
    <row r="11" customFormat="false" ht="30" hidden="false" customHeight="true" outlineLevel="0" collapsed="false">
      <c r="A11" s="3" t="n">
        <v>9</v>
      </c>
      <c r="B11" s="3" t="s">
        <v>118</v>
      </c>
      <c r="C11" s="3" t="s">
        <v>119</v>
      </c>
      <c r="D11" s="3"/>
      <c r="E11" s="3"/>
      <c r="F11" s="3"/>
    </row>
    <row r="12" customFormat="false" ht="30" hidden="false" customHeight="true" outlineLevel="0" collapsed="false">
      <c r="A12" s="3" t="n">
        <v>10</v>
      </c>
      <c r="B12" s="3" t="s">
        <v>120</v>
      </c>
      <c r="C12" s="3" t="s">
        <v>121</v>
      </c>
      <c r="D12" s="3"/>
      <c r="E12" s="3"/>
      <c r="F12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7" t="s">
        <v>122</v>
      </c>
      <c r="B1" s="7"/>
      <c r="C1" s="7"/>
      <c r="D1" s="7"/>
    </row>
    <row r="2" customFormat="false" ht="21.75" hidden="false" customHeight="true" outlineLevel="0" collapsed="false">
      <c r="A2" s="8" t="s">
        <v>123</v>
      </c>
      <c r="B2" s="3" t="s">
        <v>124</v>
      </c>
    </row>
    <row r="3" customFormat="false" ht="21.75" hidden="false" customHeight="true" outlineLevel="0" collapsed="false">
      <c r="A3" s="8" t="s">
        <v>125</v>
      </c>
      <c r="B3" s="3" t="s">
        <v>126</v>
      </c>
    </row>
    <row r="4" customFormat="false" ht="21.75" hidden="false" customHeight="true" outlineLevel="0" collapsed="false">
      <c r="A4" s="8" t="s">
        <v>127</v>
      </c>
      <c r="B4" s="3" t="s">
        <v>128</v>
      </c>
    </row>
    <row r="5" customFormat="false" ht="21.75" hidden="false" customHeight="true" outlineLevel="0" collapsed="false">
      <c r="A5" s="8" t="s">
        <v>129</v>
      </c>
      <c r="B5" s="3" t="s">
        <v>130</v>
      </c>
    </row>
    <row r="6" customFormat="false" ht="21.75" hidden="false" customHeight="true" outlineLevel="0" collapsed="false">
      <c r="A6" s="8" t="s">
        <v>131</v>
      </c>
      <c r="B6" s="3" t="s">
        <v>132</v>
      </c>
    </row>
    <row r="7" customFormat="false" ht="21.75" hidden="false" customHeight="true" outlineLevel="0" collapsed="false">
      <c r="A7" s="8" t="s">
        <v>133</v>
      </c>
      <c r="B7" s="3" t="n">
        <f aca="false">COUNTA('Test Cases'!A3:A20)-1</f>
        <v>17</v>
      </c>
    </row>
    <row r="9" customFormat="false" ht="24" hidden="false" customHeight="true" outlineLevel="0" collapsed="false">
      <c r="A9" s="9" t="s">
        <v>134</v>
      </c>
      <c r="B9" s="9"/>
      <c r="C9" s="9"/>
      <c r="D9" s="9"/>
    </row>
    <row r="10" customFormat="false" ht="15" hidden="false" customHeight="false" outlineLevel="0" collapsed="false">
      <c r="A10" s="10" t="s">
        <v>135</v>
      </c>
      <c r="B10" s="10" t="s">
        <v>136</v>
      </c>
      <c r="C10" s="10" t="s">
        <v>137</v>
      </c>
      <c r="D10" s="10" t="s">
        <v>9</v>
      </c>
    </row>
    <row r="11" customFormat="false" ht="21.75" hidden="false" customHeight="true" outlineLevel="0" collapsed="false">
      <c r="A11" s="11" t="s">
        <v>138</v>
      </c>
      <c r="B11" s="12" t="n">
        <v>18</v>
      </c>
      <c r="C11" s="12" t="s">
        <v>139</v>
      </c>
      <c r="D11" s="3" t="s">
        <v>140</v>
      </c>
    </row>
    <row r="12" customFormat="false" ht="21.75" hidden="false" customHeight="true" outlineLevel="0" collapsed="false">
      <c r="A12" s="11" t="s">
        <v>141</v>
      </c>
      <c r="B12" s="12" t="n">
        <v>5</v>
      </c>
      <c r="C12" s="12" t="n">
        <f aca="false">B12/B11</f>
        <v>0.277777777777778</v>
      </c>
      <c r="D12" s="3" t="s">
        <v>142</v>
      </c>
    </row>
    <row r="13" customFormat="false" ht="21.75" hidden="false" customHeight="true" outlineLevel="0" collapsed="false">
      <c r="A13" s="11" t="s">
        <v>143</v>
      </c>
      <c r="B13" s="12" t="n">
        <v>3</v>
      </c>
      <c r="C13" s="12" t="n">
        <f aca="false">B13/B12</f>
        <v>0.6</v>
      </c>
      <c r="D13" s="3"/>
    </row>
    <row r="14" customFormat="false" ht="21.75" hidden="false" customHeight="true" outlineLevel="0" collapsed="false">
      <c r="A14" s="11" t="s">
        <v>144</v>
      </c>
      <c r="B14" s="12" t="n">
        <v>2</v>
      </c>
      <c r="C14" s="12" t="n">
        <f aca="false">B14/B12</f>
        <v>0.4</v>
      </c>
      <c r="D14" s="3" t="s">
        <v>145</v>
      </c>
    </row>
    <row r="15" customFormat="false" ht="21.75" hidden="false" customHeight="true" outlineLevel="0" collapsed="false">
      <c r="A15" s="11" t="s">
        <v>146</v>
      </c>
      <c r="B15" s="12" t="n">
        <v>0</v>
      </c>
      <c r="C15" s="12" t="n">
        <f aca="false">B15/B12</f>
        <v>0</v>
      </c>
      <c r="D15" s="3"/>
    </row>
    <row r="16" customFormat="false" ht="21.75" hidden="false" customHeight="true" outlineLevel="0" collapsed="false">
      <c r="A16" s="11" t="s">
        <v>147</v>
      </c>
      <c r="B16" s="12" t="n">
        <v>5</v>
      </c>
      <c r="C16" s="12"/>
      <c r="D16" s="3" t="s">
        <v>148</v>
      </c>
    </row>
    <row r="18" customFormat="false" ht="24" hidden="false" customHeight="true" outlineLevel="0" collapsed="false">
      <c r="A18" s="9" t="s">
        <v>149</v>
      </c>
      <c r="B18" s="9"/>
      <c r="C18" s="9"/>
      <c r="D18" s="9"/>
    </row>
    <row r="19" customFormat="false" ht="15" hidden="false" customHeight="false" outlineLevel="0" collapsed="false">
      <c r="A19" s="10" t="s">
        <v>150</v>
      </c>
      <c r="B19" s="10" t="s">
        <v>151</v>
      </c>
      <c r="C19" s="10" t="s">
        <v>152</v>
      </c>
      <c r="D19" s="10" t="s">
        <v>153</v>
      </c>
    </row>
    <row r="20" customFormat="false" ht="27.75" hidden="false" customHeight="true" outlineLevel="0" collapsed="false">
      <c r="A20" s="12" t="s">
        <v>154</v>
      </c>
      <c r="B20" s="12" t="s">
        <v>16</v>
      </c>
      <c r="C20" s="3" t="s">
        <v>155</v>
      </c>
      <c r="D20" s="13" t="s">
        <v>156</v>
      </c>
    </row>
    <row r="21" customFormat="false" ht="27.75" hidden="false" customHeight="true" outlineLevel="0" collapsed="false">
      <c r="A21" s="12" t="s">
        <v>157</v>
      </c>
      <c r="B21" s="12" t="s">
        <v>41</v>
      </c>
      <c r="C21" s="3" t="s">
        <v>158</v>
      </c>
      <c r="D21" s="13" t="s">
        <v>156</v>
      </c>
    </row>
    <row r="22" customFormat="false" ht="27.75" hidden="false" customHeight="true" outlineLevel="0" collapsed="false">
      <c r="A22" s="12" t="s">
        <v>159</v>
      </c>
      <c r="B22" s="12" t="s">
        <v>37</v>
      </c>
      <c r="C22" s="3" t="s">
        <v>160</v>
      </c>
      <c r="D22" s="14" t="s">
        <v>161</v>
      </c>
    </row>
    <row r="23" customFormat="false" ht="27.75" hidden="false" customHeight="true" outlineLevel="0" collapsed="false">
      <c r="A23" s="12" t="s">
        <v>162</v>
      </c>
      <c r="B23" s="12" t="s">
        <v>59</v>
      </c>
      <c r="C23" s="3" t="s">
        <v>163</v>
      </c>
      <c r="D23" s="13" t="s">
        <v>156</v>
      </c>
    </row>
    <row r="24" customFormat="false" ht="27.75" hidden="false" customHeight="true" outlineLevel="0" collapsed="false">
      <c r="A24" s="12" t="s">
        <v>164</v>
      </c>
      <c r="B24" s="12" t="s">
        <v>21</v>
      </c>
      <c r="C24" s="3" t="s">
        <v>165</v>
      </c>
      <c r="D24" s="14" t="s">
        <v>161</v>
      </c>
    </row>
  </sheetData>
  <mergeCells count="3">
    <mergeCell ref="A1:D1"/>
    <mergeCell ref="A9:D9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2026-06-08T01:15:43Z</dcterms:created>
  <dc:creator>openpyxl</dc:creator>
  <dc:description/>
  <dc:language>en-US</dc:language>
  <cp:lastModifiedBy/>
  <dcterms:modified xsi:type="dcterms:W3CDTF">2026-06-08T01:15:43Z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